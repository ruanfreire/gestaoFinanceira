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 de caixa_Nubank" sheetId="1" r:id="rId4"/>
    <sheet state="visible" name="Fluxo de caixa_ASAAS" sheetId="2" r:id="rId5"/>
    <sheet state="visible" name="Cartão de Crédito" sheetId="3" r:id="rId6"/>
    <sheet state="hidden" name="Reembolso de despesas" sheetId="4" r:id="rId7"/>
    <sheet state="visible" name="Lista" sheetId="5" r:id="rId8"/>
  </sheets>
  <definedNames>
    <definedName name="Categoria">Lista!$B$1:$B$33</definedName>
    <definedName name="tipo">Lista!$A$1:$A$2</definedName>
    <definedName hidden="1" localSheetId="0" name="_xlnm._FilterDatabase">'Fluxo de caixa_Nubank'!$A$7:$A$43</definedName>
    <definedName hidden="1" localSheetId="1" name="_xlnm._FilterDatabase">'Fluxo de caixa_ASAAS'!$A$7:$A$62</definedName>
  </definedNames>
  <calcPr/>
  <extLst>
    <ext uri="GoogleSheetsCustomDataVersion2">
      <go:sheetsCustomData xmlns:go="http://customooxmlschemas.google.com/" r:id="rId9" roundtripDataChecksum="W3dW6tPvX1xbA1e70dqwDLvkLUkhjbUIolQeupx35mo="/>
    </ext>
  </extLst>
</workbook>
</file>

<file path=xl/sharedStrings.xml><?xml version="1.0" encoding="utf-8"?>
<sst xmlns="http://schemas.openxmlformats.org/spreadsheetml/2006/main" count="105" uniqueCount="68">
  <si>
    <t>CONTROLE DE FLUXO DE CAIXA</t>
  </si>
  <si>
    <t>Empresa:</t>
  </si>
  <si>
    <t>ANA LUISA RICCI BARDI CALADO NECA</t>
  </si>
  <si>
    <t xml:space="preserve">CNPJ </t>
  </si>
  <si>
    <t>39.803.761/000117</t>
  </si>
  <si>
    <t>Banco:</t>
  </si>
  <si>
    <t>NUBANK</t>
  </si>
  <si>
    <t>Conta Corrente:</t>
  </si>
  <si>
    <t>Saldo Inicial:</t>
  </si>
  <si>
    <t>Data</t>
  </si>
  <si>
    <t>Tipo</t>
  </si>
  <si>
    <t>Categoria/ Plano de contas</t>
  </si>
  <si>
    <t>Nº Documento / NF</t>
  </si>
  <si>
    <t>Cliente / Fornecedor</t>
  </si>
  <si>
    <t>Histórico</t>
  </si>
  <si>
    <t>Valor</t>
  </si>
  <si>
    <t>Saldo Banco</t>
  </si>
  <si>
    <t>Saldo Final do Extrato Bancário</t>
  </si>
  <si>
    <t>MOV!MENTO ORGANIZACIONAL E HUMANO // ANA LUISA RICCI BARDI CALADO NECA 00356359913</t>
  </si>
  <si>
    <t>ASAAS Gestão Financeira Instituição de Pagamento S.A.</t>
  </si>
  <si>
    <t>5826845  9</t>
  </si>
  <si>
    <t xml:space="preserve">CONTROLE DE FLUXO DE CAIXA							</t>
  </si>
  <si>
    <t>Cartão de crédito</t>
  </si>
  <si>
    <t>REEMBOLSO</t>
  </si>
  <si>
    <t>EMPRESA 1</t>
  </si>
  <si>
    <t>Nº Reembolso</t>
  </si>
  <si>
    <t>Data do pagamento</t>
  </si>
  <si>
    <t>Solicitante</t>
  </si>
  <si>
    <t>XXXX</t>
  </si>
  <si>
    <t>Tipo despesa</t>
  </si>
  <si>
    <t>Nº Documento</t>
  </si>
  <si>
    <t>Valor do Reembolso</t>
  </si>
  <si>
    <t>Observações</t>
  </si>
  <si>
    <t>Os pagamentos sem comprovante fiscal valido deverão ser identificados no campo histórico, e serão contabilizados como distribuição de lucros do sócio.</t>
  </si>
  <si>
    <t>Total do reembolso</t>
  </si>
  <si>
    <t>Entrada</t>
  </si>
  <si>
    <t>Recebimento</t>
  </si>
  <si>
    <t>Saída</t>
  </si>
  <si>
    <t>Transferência bancária</t>
  </si>
  <si>
    <t>Fornecedor</t>
  </si>
  <si>
    <t>Prólabore</t>
  </si>
  <si>
    <t>SIMPLES</t>
  </si>
  <si>
    <t>Investimento Nubank RDB</t>
  </si>
  <si>
    <t>Empréstimo Sócio</t>
  </si>
  <si>
    <t>Empréstimo Bancário</t>
  </si>
  <si>
    <t>Adiantamento de Cliente</t>
  </si>
  <si>
    <t>Outras Entradas</t>
  </si>
  <si>
    <t>Tarifa Bancária</t>
  </si>
  <si>
    <t>Encargos bancários</t>
  </si>
  <si>
    <t>Folha de Pagamento</t>
  </si>
  <si>
    <t>Reembolso de Despesas</t>
  </si>
  <si>
    <t>Aluguel</t>
  </si>
  <si>
    <t>Condomínio</t>
  </si>
  <si>
    <t>Água</t>
  </si>
  <si>
    <t>Luz</t>
  </si>
  <si>
    <t>Despesas Diversas</t>
  </si>
  <si>
    <t>PIS</t>
  </si>
  <si>
    <t>COFINS</t>
  </si>
  <si>
    <t>ISS</t>
  </si>
  <si>
    <t>IRPJ</t>
  </si>
  <si>
    <t>CSLL</t>
  </si>
  <si>
    <t>IR Retido</t>
  </si>
  <si>
    <t>CS Retida</t>
  </si>
  <si>
    <t>ISS Retido</t>
  </si>
  <si>
    <t>INSS Retido</t>
  </si>
  <si>
    <t>Devolução Emprestimo Sócios</t>
  </si>
  <si>
    <t>Devolução Emprestimo Bancário</t>
  </si>
  <si>
    <t>Adiantamento Fornecedor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</si>
</sst>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/m/yyyy"/>
    <numFmt numFmtId="167" formatCode="_-* #,##0.00_-;\-* #,##0.00_-;_-* &quot;-&quot;??_-;_-@"/>
  </numFmts>
  <fonts count="19">
    <font>
      <sz val="11.0"/>
      <color theme="1"/>
      <name val="Calibri"/>
      <scheme val="minor"/>
    </font>
    <font>
      <b/>
      <u/>
      <sz val="11.0"/>
      <color theme="0"/>
      <name val="Calibri"/>
    </font>
    <font/>
    <font>
      <sz val="11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rgb="FF000000"/>
      <name val="Calibri"/>
    </font>
    <font>
      <sz val="10.0"/>
      <color rgb="FF000000"/>
      <name val="Calibri"/>
    </font>
    <font>
      <b/>
      <sz val="10.0"/>
      <color theme="0"/>
      <name val="Calibri"/>
    </font>
    <font>
      <b/>
      <sz val="10.0"/>
      <color rgb="FF000000"/>
      <name val="Calibri"/>
    </font>
    <font>
      <sz val="10.0"/>
      <color theme="0"/>
      <name val="Calibri"/>
    </font>
    <font>
      <sz val="10.0"/>
      <color rgb="FFFFFFFF"/>
      <name val="Calibri"/>
    </font>
    <font>
      <sz val="11.0"/>
      <color rgb="FFFFFFFF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i/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6" numFmtId="164" xfId="0" applyFont="1" applyNumberFormat="1"/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right" vertical="center"/>
    </xf>
    <xf borderId="3" fillId="0" fontId="5" numFmtId="0" xfId="0" applyAlignment="1" applyBorder="1" applyFont="1">
      <alignment shrinkToFit="0" vertical="center" wrapText="1"/>
    </xf>
    <xf borderId="3" fillId="0" fontId="4" numFmtId="165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vertical="center"/>
    </xf>
    <xf borderId="3" fillId="0" fontId="4" numFmtId="0" xfId="0" applyAlignment="1" applyBorder="1" applyFont="1">
      <alignment vertical="bottom"/>
    </xf>
    <xf borderId="3" fillId="0" fontId="6" numFmtId="164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vertical="bottom"/>
    </xf>
    <xf borderId="3" fillId="3" fontId="4" numFmtId="0" xfId="0" applyAlignment="1" applyBorder="1" applyFont="1">
      <alignment horizontal="right" vertical="center"/>
    </xf>
    <xf borderId="3" fillId="3" fontId="4" numFmtId="0" xfId="0" applyAlignment="1" applyBorder="1" applyFont="1">
      <alignment vertical="bottom"/>
    </xf>
    <xf borderId="3" fillId="3" fontId="4" numFmtId="0" xfId="0" applyAlignment="1" applyBorder="1" applyFont="1">
      <alignment shrinkToFit="0" vertical="center" wrapText="1"/>
    </xf>
    <xf borderId="3" fillId="3" fontId="4" numFmtId="164" xfId="0" applyAlignment="1" applyBorder="1" applyFont="1" applyNumberFormat="1">
      <alignment vertical="center"/>
    </xf>
    <xf borderId="3" fillId="0" fontId="4" numFmtId="166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horizontal="left" vertical="center"/>
    </xf>
    <xf borderId="3" fillId="0" fontId="4" numFmtId="166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right" vertical="center"/>
    </xf>
    <xf borderId="3" fillId="0" fontId="3" numFmtId="0" xfId="0" applyAlignment="1" applyBorder="1" applyFont="1">
      <alignment horizontal="center" vertical="center"/>
    </xf>
    <xf borderId="3" fillId="0" fontId="4" numFmtId="2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right" vertical="bottom"/>
    </xf>
    <xf borderId="4" fillId="2" fontId="7" numFmtId="0" xfId="0" applyAlignment="1" applyBorder="1" applyFont="1">
      <alignment vertical="center"/>
    </xf>
    <xf borderId="4" fillId="2" fontId="8" numFmtId="0" xfId="0" applyAlignment="1" applyBorder="1" applyFont="1">
      <alignment vertical="center"/>
    </xf>
    <xf borderId="4" fillId="2" fontId="8" numFmtId="0" xfId="0" applyAlignment="1" applyBorder="1" applyFont="1">
      <alignment shrinkToFit="0" vertical="center" wrapText="1"/>
    </xf>
    <xf borderId="4" fillId="2" fontId="8" numFmtId="167" xfId="0" applyAlignment="1" applyBorder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3" fillId="0" fontId="4" numFmtId="165" xfId="0" applyAlignment="1" applyBorder="1" applyFont="1" applyNumberFormat="1">
      <alignment vertical="bottom"/>
    </xf>
    <xf borderId="3" fillId="3" fontId="4" numFmtId="0" xfId="0" applyBorder="1" applyFont="1"/>
    <xf borderId="3" fillId="0" fontId="4" numFmtId="0" xfId="0" applyAlignment="1" applyBorder="1" applyFon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3" fillId="0" fontId="4" numFmtId="0" xfId="0" applyBorder="1" applyFont="1"/>
    <xf borderId="3" fillId="0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right" vertical="center"/>
    </xf>
    <xf borderId="3" fillId="0" fontId="9" numFmtId="0" xfId="0" applyAlignment="1" applyBorder="1" applyFont="1">
      <alignment horizontal="right" vertical="center"/>
    </xf>
    <xf borderId="3" fillId="3" fontId="10" numFmtId="0" xfId="0" applyAlignment="1" applyBorder="1" applyFont="1">
      <alignment horizontal="right" vertical="center"/>
    </xf>
    <xf borderId="3" fillId="3" fontId="11" numFmtId="0" xfId="0" applyAlignment="1" applyBorder="1" applyFont="1">
      <alignment shrinkToFit="0" vertical="center" wrapText="1"/>
    </xf>
    <xf borderId="3" fillId="3" fontId="10" numFmtId="164" xfId="0" applyAlignment="1" applyBorder="1" applyFont="1" applyNumberFormat="1">
      <alignment vertical="center"/>
    </xf>
    <xf borderId="0" fillId="3" fontId="3" numFmtId="0" xfId="0" applyAlignment="1" applyFont="1">
      <alignment vertical="center"/>
    </xf>
    <xf borderId="3" fillId="0" fontId="3" numFmtId="0" xfId="0" applyAlignment="1" applyBorder="1" applyFont="1">
      <alignment vertical="bottom"/>
    </xf>
    <xf borderId="3" fillId="3" fontId="12" numFmtId="0" xfId="0" applyAlignment="1" applyBorder="1" applyFont="1">
      <alignment horizontal="right" vertical="center"/>
    </xf>
    <xf borderId="3" fillId="3" fontId="13" numFmtId="0" xfId="0" applyAlignment="1" applyBorder="1" applyFont="1">
      <alignment horizontal="right" vertical="center"/>
    </xf>
    <xf borderId="3" fillId="3" fontId="14" numFmtId="0" xfId="0" applyAlignment="1" applyBorder="1" applyFont="1">
      <alignment vertical="bottom"/>
    </xf>
    <xf borderId="3" fillId="3" fontId="11" numFmtId="0" xfId="0" applyAlignment="1" applyBorder="1" applyFont="1">
      <alignment vertical="center"/>
    </xf>
    <xf borderId="3" fillId="3" fontId="11" numFmtId="167" xfId="0" applyAlignment="1" applyBorder="1" applyFont="1" applyNumberFormat="1">
      <alignment vertical="center"/>
    </xf>
    <xf borderId="0" fillId="4" fontId="15" numFmtId="0" xfId="0" applyAlignment="1" applyFill="1" applyFont="1">
      <alignment vertical="bottom"/>
    </xf>
    <xf borderId="4" fillId="4" fontId="8" numFmtId="0" xfId="0" applyAlignment="1" applyBorder="1" applyFont="1">
      <alignment vertical="center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7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3" fillId="0" fontId="3" numFmtId="167" xfId="0" applyAlignment="1" applyBorder="1" applyFont="1" applyNumberFormat="1">
      <alignment horizontal="center" vertical="center"/>
    </xf>
    <xf borderId="0" fillId="0" fontId="16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167" xfId="0" applyAlignment="1" applyFont="1" applyNumberFormat="1">
      <alignment vertical="center"/>
    </xf>
    <xf borderId="0" fillId="0" fontId="3" numFmtId="14" xfId="0" applyAlignment="1" applyFont="1" applyNumberFormat="1">
      <alignment vertical="center"/>
    </xf>
    <xf borderId="3" fillId="0" fontId="16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3" fillId="0" fontId="4" numFmtId="14" xfId="0" applyAlignment="1" applyBorder="1" applyFont="1" applyNumberFormat="1">
      <alignment vertical="center"/>
    </xf>
    <xf borderId="3" fillId="0" fontId="4" numFmtId="0" xfId="0" applyAlignment="1" applyBorder="1" applyFont="1">
      <alignment vertical="center"/>
    </xf>
    <xf borderId="3" fillId="0" fontId="4" numFmtId="167" xfId="0" applyAlignment="1" applyBorder="1" applyFont="1" applyNumberFormat="1">
      <alignment vertical="center"/>
    </xf>
    <xf borderId="0" fillId="0" fontId="18" numFmtId="0" xfId="0" applyAlignment="1" applyFont="1">
      <alignment vertical="center"/>
    </xf>
    <xf borderId="3" fillId="0" fontId="4" numFmtId="17" xfId="0" applyAlignment="1" applyBorder="1" applyFont="1" applyNumberFormat="1">
      <alignment vertical="center"/>
    </xf>
    <xf borderId="5" fillId="0" fontId="3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2" fontId="8" numFmtId="0" xfId="0" applyAlignment="1" applyBorder="1" applyFont="1">
      <alignment vertical="center"/>
    </xf>
    <xf borderId="8" fillId="2" fontId="8" numFmtId="167" xfId="0" applyAlignment="1" applyBorder="1" applyFont="1" applyNumberFormat="1">
      <alignment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10.86"/>
    <col customWidth="1" min="3" max="3" width="19.86"/>
    <col customWidth="1" min="4" max="4" width="17.0"/>
    <col customWidth="1" min="5" max="5" width="60.0"/>
    <col customWidth="1" min="6" max="6" width="22.57"/>
    <col customWidth="1" min="7" max="7" width="14.86"/>
    <col customWidth="1" min="8" max="8" width="11.43"/>
    <col customWidth="1" min="9" max="21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/>
      <c r="B2" s="4"/>
      <c r="C2" s="4"/>
      <c r="D2" s="4"/>
      <c r="E2" s="4"/>
      <c r="F2" s="5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6" t="s">
        <v>1</v>
      </c>
      <c r="B3" s="7" t="s">
        <v>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6" t="s">
        <v>3</v>
      </c>
      <c r="B4" s="4" t="s">
        <v>4</v>
      </c>
      <c r="C4" s="4"/>
      <c r="D4" s="4"/>
      <c r="E4" s="4"/>
      <c r="F4" s="5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6" t="s">
        <v>5</v>
      </c>
      <c r="B5" s="4" t="s">
        <v>6</v>
      </c>
      <c r="C5" s="6" t="s">
        <v>7</v>
      </c>
      <c r="D5" s="4"/>
      <c r="E5" s="4"/>
      <c r="F5" s="5"/>
      <c r="G5" s="6" t="s">
        <v>8</v>
      </c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4"/>
      <c r="B6" s="4"/>
      <c r="C6" s="4"/>
      <c r="D6" s="4"/>
      <c r="E6" s="4"/>
      <c r="F6" s="5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9" t="s">
        <v>9</v>
      </c>
      <c r="B7" s="9" t="s">
        <v>10</v>
      </c>
      <c r="C7" s="9" t="s">
        <v>11</v>
      </c>
      <c r="D7" s="10" t="s">
        <v>12</v>
      </c>
      <c r="E7" s="9" t="s">
        <v>13</v>
      </c>
      <c r="F7" s="11" t="s">
        <v>14</v>
      </c>
      <c r="G7" s="9" t="s">
        <v>15</v>
      </c>
      <c r="H7" s="9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2"/>
      <c r="B8" s="13"/>
      <c r="C8" s="13"/>
      <c r="D8" s="14"/>
      <c r="E8" s="14"/>
      <c r="F8" s="14"/>
      <c r="G8" s="15"/>
      <c r="H8" s="16">
        <f>H5-G8</f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12"/>
      <c r="B9" s="13"/>
      <c r="C9" s="13"/>
      <c r="D9" s="14"/>
      <c r="E9" s="14"/>
      <c r="F9" s="14"/>
      <c r="G9" s="15"/>
      <c r="H9" s="16">
        <f>H8+G9</f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12"/>
      <c r="B10" s="13"/>
      <c r="C10" s="13"/>
      <c r="D10" s="14"/>
      <c r="E10" s="14"/>
      <c r="F10" s="14"/>
      <c r="G10" s="15"/>
      <c r="H10" s="16">
        <f>H9-G10</f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5.75" customHeight="1">
      <c r="A11" s="12"/>
      <c r="B11" s="13"/>
      <c r="C11" s="13"/>
      <c r="D11" s="17"/>
      <c r="E11" s="14"/>
      <c r="F11" s="14"/>
      <c r="G11" s="16"/>
      <c r="H11" s="16">
        <f>H10+G11</f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5.75" customHeight="1">
      <c r="A12" s="12"/>
      <c r="B12" s="13"/>
      <c r="C12" s="13"/>
      <c r="D12" s="18"/>
      <c r="E12" s="14"/>
      <c r="F12" s="14"/>
      <c r="G12" s="16"/>
      <c r="H12" s="16">
        <f>H11-G12</f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5.75" customHeight="1">
      <c r="A13" s="12"/>
      <c r="B13" s="13"/>
      <c r="C13" s="13"/>
      <c r="D13" s="18"/>
      <c r="E13" s="14"/>
      <c r="F13" s="19"/>
      <c r="G13" s="16"/>
      <c r="H13" s="20">
        <f>H12+G13</f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>
      <c r="A14" s="12"/>
      <c r="B14" s="13"/>
      <c r="C14" s="13"/>
      <c r="D14" s="18"/>
      <c r="E14" s="14"/>
      <c r="F14" s="19"/>
      <c r="G14" s="16"/>
      <c r="H14" s="20">
        <f>H13-G14</f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>
      <c r="A15" s="12"/>
      <c r="B15" s="13"/>
      <c r="C15" s="13"/>
      <c r="D15" s="18"/>
      <c r="E15" s="14"/>
      <c r="F15" s="19"/>
      <c r="G15" s="16"/>
      <c r="H15" s="20">
        <f>H14+G15</f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>
      <c r="A16" s="12"/>
      <c r="B16" s="13"/>
      <c r="C16" s="13"/>
      <c r="D16" s="17"/>
      <c r="E16" s="14"/>
      <c r="F16" s="19"/>
      <c r="G16" s="16"/>
      <c r="H16" s="20">
        <f>H15-G16</f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5.75" customHeight="1">
      <c r="A17" s="12"/>
      <c r="B17" s="13"/>
      <c r="C17" s="13"/>
      <c r="D17" s="13"/>
      <c r="E17" s="14"/>
      <c r="F17" s="19"/>
      <c r="G17" s="16"/>
      <c r="H17" s="20">
        <f t="shared" ref="H17:H43" si="1">H16+G17</f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21"/>
      <c r="B18" s="13"/>
      <c r="C18" s="13"/>
      <c r="D18" s="18"/>
      <c r="E18" s="14"/>
      <c r="F18" s="19"/>
      <c r="G18" s="22"/>
      <c r="H18" s="20">
        <f t="shared" si="1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>
      <c r="A19" s="21"/>
      <c r="B19" s="13"/>
      <c r="C19" s="13"/>
      <c r="D19" s="13"/>
      <c r="E19" s="14"/>
      <c r="F19" s="19"/>
      <c r="G19" s="22"/>
      <c r="H19" s="20">
        <f t="shared" si="1"/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5.75" customHeight="1">
      <c r="A20" s="21"/>
      <c r="B20" s="13"/>
      <c r="C20" s="13"/>
      <c r="D20" s="18"/>
      <c r="E20" s="14"/>
      <c r="F20" s="19"/>
      <c r="G20" s="22"/>
      <c r="H20" s="20">
        <f t="shared" si="1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21"/>
      <c r="B21" s="13"/>
      <c r="C21" s="13"/>
      <c r="D21" s="23"/>
      <c r="E21" s="14"/>
      <c r="F21" s="19"/>
      <c r="G21" s="22"/>
      <c r="H21" s="20">
        <f t="shared" si="1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21"/>
      <c r="B22" s="13"/>
      <c r="C22" s="13"/>
      <c r="D22" s="13"/>
      <c r="E22" s="14"/>
      <c r="F22" s="19"/>
      <c r="G22" s="22"/>
      <c r="H22" s="20">
        <f t="shared" si="1"/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21"/>
      <c r="B23" s="13"/>
      <c r="C23" s="13"/>
      <c r="D23" s="13"/>
      <c r="E23" s="14"/>
      <c r="F23" s="19"/>
      <c r="G23" s="22"/>
      <c r="H23" s="20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24"/>
      <c r="B24" s="13"/>
      <c r="C24" s="13"/>
      <c r="D24" s="25"/>
      <c r="E24" s="14"/>
      <c r="F24" s="26"/>
      <c r="G24" s="27"/>
      <c r="H24" s="20">
        <f t="shared" si="1"/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24"/>
      <c r="B25" s="13"/>
      <c r="C25" s="13"/>
      <c r="D25" s="26"/>
      <c r="E25" s="14"/>
      <c r="F25" s="26"/>
      <c r="G25" s="28"/>
      <c r="H25" s="20">
        <f t="shared" si="1"/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24"/>
      <c r="B26" s="13"/>
      <c r="C26" s="13"/>
      <c r="D26" s="26"/>
      <c r="E26" s="14"/>
      <c r="F26" s="26"/>
      <c r="G26" s="28"/>
      <c r="H26" s="20">
        <f t="shared" si="1"/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24"/>
      <c r="B27" s="13"/>
      <c r="C27" s="13"/>
      <c r="D27" s="26"/>
      <c r="E27" s="14"/>
      <c r="F27" s="26"/>
      <c r="G27" s="28"/>
      <c r="H27" s="20">
        <f t="shared" si="1"/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24"/>
      <c r="B28" s="13"/>
      <c r="C28" s="13"/>
      <c r="D28" s="26"/>
      <c r="E28" s="14"/>
      <c r="F28" s="26"/>
      <c r="G28" s="28"/>
      <c r="H28" s="20">
        <f t="shared" si="1"/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24"/>
      <c r="B29" s="13"/>
      <c r="C29" s="13"/>
      <c r="D29" s="26"/>
      <c r="E29" s="14"/>
      <c r="F29" s="26"/>
      <c r="G29" s="28"/>
      <c r="H29" s="20">
        <f t="shared" si="1"/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24"/>
      <c r="B30" s="13"/>
      <c r="C30" s="13"/>
      <c r="D30" s="26"/>
      <c r="E30" s="14"/>
      <c r="F30" s="26"/>
      <c r="G30" s="28"/>
      <c r="H30" s="20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24"/>
      <c r="B31" s="13"/>
      <c r="C31" s="13"/>
      <c r="D31" s="26"/>
      <c r="E31" s="14"/>
      <c r="F31" s="26"/>
      <c r="G31" s="28"/>
      <c r="H31" s="20">
        <f t="shared" si="1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24"/>
      <c r="B32" s="13"/>
      <c r="C32" s="13"/>
      <c r="D32" s="26"/>
      <c r="E32" s="14"/>
      <c r="F32" s="26"/>
      <c r="G32" s="28"/>
      <c r="H32" s="20">
        <f t="shared" si="1"/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24"/>
      <c r="B33" s="13"/>
      <c r="C33" s="13"/>
      <c r="D33" s="26"/>
      <c r="E33" s="14"/>
      <c r="F33" s="26"/>
      <c r="G33" s="28"/>
      <c r="H33" s="20">
        <f t="shared" si="1"/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24"/>
      <c r="B34" s="13"/>
      <c r="C34" s="13"/>
      <c r="D34" s="26"/>
      <c r="E34" s="14"/>
      <c r="F34" s="26"/>
      <c r="G34" s="28"/>
      <c r="H34" s="20">
        <f t="shared" si="1"/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24"/>
      <c r="B35" s="13"/>
      <c r="C35" s="13"/>
      <c r="D35" s="26"/>
      <c r="E35" s="14"/>
      <c r="F35" s="26"/>
      <c r="G35" s="28"/>
      <c r="H35" s="20">
        <f t="shared" si="1"/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24"/>
      <c r="B36" s="13"/>
      <c r="C36" s="13"/>
      <c r="D36" s="26"/>
      <c r="E36" s="14"/>
      <c r="F36" s="26"/>
      <c r="G36" s="28"/>
      <c r="H36" s="20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24"/>
      <c r="B37" s="13"/>
      <c r="C37" s="13"/>
      <c r="D37" s="26"/>
      <c r="E37" s="14"/>
      <c r="F37" s="26"/>
      <c r="G37" s="28"/>
      <c r="H37" s="20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24"/>
      <c r="B38" s="13"/>
      <c r="C38" s="13"/>
      <c r="D38" s="26"/>
      <c r="E38" s="14"/>
      <c r="F38" s="26"/>
      <c r="G38" s="28"/>
      <c r="H38" s="20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24"/>
      <c r="B39" s="13"/>
      <c r="C39" s="13"/>
      <c r="D39" s="26"/>
      <c r="E39" s="14"/>
      <c r="F39" s="26"/>
      <c r="G39" s="28"/>
      <c r="H39" s="20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24"/>
      <c r="B40" s="13"/>
      <c r="C40" s="13"/>
      <c r="D40" s="26"/>
      <c r="E40" s="14"/>
      <c r="F40" s="26"/>
      <c r="G40" s="28"/>
      <c r="H40" s="20">
        <f t="shared" si="1"/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24"/>
      <c r="B41" s="13"/>
      <c r="C41" s="13"/>
      <c r="D41" s="26"/>
      <c r="E41" s="14"/>
      <c r="F41" s="26"/>
      <c r="G41" s="28"/>
      <c r="H41" s="20">
        <f t="shared" si="1"/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24"/>
      <c r="B42" s="13"/>
      <c r="C42" s="13"/>
      <c r="D42" s="26"/>
      <c r="E42" s="14"/>
      <c r="F42" s="26"/>
      <c r="G42" s="28"/>
      <c r="H42" s="20">
        <f t="shared" si="1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24"/>
      <c r="B43" s="13"/>
      <c r="C43" s="13"/>
      <c r="D43" s="26"/>
      <c r="E43" s="14"/>
      <c r="F43" s="26"/>
      <c r="G43" s="28"/>
      <c r="H43" s="20">
        <f t="shared" si="1"/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29" t="s">
        <v>17</v>
      </c>
      <c r="B44" s="30"/>
      <c r="C44" s="30"/>
      <c r="D44" s="30"/>
      <c r="E44" s="30"/>
      <c r="F44" s="31"/>
      <c r="G44" s="32"/>
      <c r="H44" s="32">
        <f>H17</f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3"/>
      <c r="B991" s="3"/>
      <c r="C991" s="3"/>
      <c r="D991" s="3"/>
      <c r="E991" s="3"/>
      <c r="F991" s="3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3"/>
      <c r="B992" s="3"/>
      <c r="C992" s="3"/>
      <c r="D992" s="3"/>
      <c r="E992" s="3"/>
      <c r="F992" s="3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3"/>
      <c r="B993" s="3"/>
      <c r="C993" s="3"/>
      <c r="D993" s="3"/>
      <c r="E993" s="3"/>
      <c r="F993" s="3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3"/>
      <c r="B994" s="3"/>
      <c r="C994" s="3"/>
      <c r="D994" s="3"/>
      <c r="E994" s="3"/>
      <c r="F994" s="3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>
      <c r="A995" s="3"/>
      <c r="B995" s="3"/>
      <c r="C995" s="3"/>
      <c r="D995" s="3"/>
      <c r="E995" s="3"/>
      <c r="F995" s="3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>
      <c r="A996" s="3"/>
      <c r="B996" s="3"/>
      <c r="C996" s="3"/>
      <c r="D996" s="3"/>
      <c r="E996" s="3"/>
      <c r="F996" s="3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>
      <c r="A997" s="3"/>
      <c r="B997" s="3"/>
      <c r="C997" s="3"/>
      <c r="D997" s="3"/>
      <c r="E997" s="3"/>
      <c r="F997" s="3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>
      <c r="A998" s="3"/>
      <c r="B998" s="3"/>
      <c r="C998" s="3"/>
      <c r="D998" s="3"/>
      <c r="E998" s="3"/>
      <c r="F998" s="3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>
      <c r="A999" s="3"/>
      <c r="B999" s="3"/>
      <c r="C999" s="3"/>
      <c r="D999" s="3"/>
      <c r="E999" s="3"/>
      <c r="F999" s="3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ht="15.75" customHeight="1">
      <c r="A1000" s="3"/>
      <c r="B1000" s="3"/>
      <c r="C1000" s="3"/>
      <c r="D1000" s="3"/>
      <c r="E1000" s="3"/>
      <c r="F1000" s="3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ht="15.75" customHeight="1">
      <c r="A1001" s="3"/>
      <c r="B1001" s="3"/>
      <c r="C1001" s="3"/>
      <c r="D1001" s="3"/>
      <c r="E1001" s="3"/>
      <c r="F1001" s="3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ht="15.75" customHeight="1">
      <c r="A1002" s="3"/>
      <c r="B1002" s="3"/>
      <c r="C1002" s="3"/>
      <c r="D1002" s="3"/>
      <c r="E1002" s="3"/>
      <c r="F1002" s="3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ht="15.75" customHeight="1">
      <c r="A1003" s="3"/>
      <c r="B1003" s="3"/>
      <c r="C1003" s="3"/>
      <c r="D1003" s="3"/>
      <c r="E1003" s="3"/>
      <c r="F1003" s="3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ht="15.75" customHeight="1">
      <c r="A1004" s="3"/>
      <c r="B1004" s="3"/>
      <c r="C1004" s="3"/>
      <c r="D1004" s="3"/>
      <c r="E1004" s="3"/>
      <c r="F1004" s="3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ht="15.75" customHeight="1">
      <c r="A1005" s="3"/>
      <c r="B1005" s="3"/>
      <c r="C1005" s="3"/>
      <c r="D1005" s="3"/>
      <c r="E1005" s="3"/>
      <c r="F1005" s="3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ht="15.75" customHeight="1">
      <c r="A1006" s="3"/>
      <c r="B1006" s="3"/>
      <c r="C1006" s="3"/>
      <c r="D1006" s="3"/>
      <c r="E1006" s="3"/>
      <c r="F1006" s="3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ht="15.75" customHeight="1">
      <c r="A1007" s="3"/>
      <c r="B1007" s="3"/>
      <c r="C1007" s="3"/>
      <c r="D1007" s="3"/>
      <c r="E1007" s="3"/>
      <c r="F1007" s="3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ht="15.75" customHeight="1">
      <c r="A1008" s="3"/>
      <c r="B1008" s="3"/>
      <c r="C1008" s="3"/>
      <c r="D1008" s="3"/>
      <c r="E1008" s="3"/>
      <c r="F1008" s="3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</sheetData>
  <autoFilter ref="$A$7:$A$43">
    <sortState ref="A7:A43">
      <sortCondition ref="A7:A43"/>
    </sortState>
  </autoFilter>
  <mergeCells count="2">
    <mergeCell ref="A1:H1"/>
    <mergeCell ref="B3:H3"/>
  </mergeCells>
  <dataValidations>
    <dataValidation type="list" allowBlank="1" showErrorMessage="1" sqref="C8:C43">
      <formula1>Categoria</formula1>
    </dataValidation>
    <dataValidation type="list" allowBlank="1" showErrorMessage="1" sqref="B8:B43">
      <formula1>tipo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17.57"/>
    <col customWidth="1" min="3" max="3" width="19.86"/>
    <col customWidth="1" min="4" max="4" width="17.0"/>
    <col customWidth="1" min="5" max="5" width="47.43"/>
    <col customWidth="1" min="6" max="6" width="22.57"/>
    <col customWidth="1" min="7" max="7" width="14.86"/>
    <col customWidth="1" min="8" max="8" width="11.43"/>
    <col customWidth="1" min="9" max="21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/>
      <c r="B2" s="4"/>
      <c r="C2" s="4"/>
      <c r="D2" s="4"/>
      <c r="E2" s="4"/>
      <c r="F2" s="5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6" t="s">
        <v>1</v>
      </c>
      <c r="B3" s="7" t="s">
        <v>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6" t="s">
        <v>3</v>
      </c>
      <c r="B4" s="4" t="s">
        <v>4</v>
      </c>
      <c r="C4" s="4"/>
      <c r="D4" s="4"/>
      <c r="E4" s="4"/>
      <c r="F4" s="5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6" t="s">
        <v>5</v>
      </c>
      <c r="B5" s="4" t="s">
        <v>19</v>
      </c>
      <c r="C5" s="6" t="s">
        <v>7</v>
      </c>
      <c r="D5" s="4" t="s">
        <v>20</v>
      </c>
      <c r="E5" s="4"/>
      <c r="F5" s="5"/>
      <c r="G5" s="6" t="s">
        <v>8</v>
      </c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4"/>
      <c r="B6" s="4"/>
      <c r="C6" s="4"/>
      <c r="D6" s="4"/>
      <c r="E6" s="4"/>
      <c r="F6" s="5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9" t="s">
        <v>9</v>
      </c>
      <c r="B7" s="9" t="s">
        <v>10</v>
      </c>
      <c r="C7" s="9" t="s">
        <v>11</v>
      </c>
      <c r="D7" s="10" t="s">
        <v>12</v>
      </c>
      <c r="E7" s="9" t="s">
        <v>13</v>
      </c>
      <c r="F7" s="11" t="s">
        <v>14</v>
      </c>
      <c r="G7" s="9" t="s">
        <v>15</v>
      </c>
      <c r="H7" s="9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34"/>
      <c r="B8" s="13"/>
      <c r="C8" s="13"/>
      <c r="D8" s="18"/>
      <c r="E8" s="14"/>
      <c r="F8" s="14"/>
      <c r="G8" s="22"/>
      <c r="H8" s="16">
        <f>H5+G8</f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34"/>
      <c r="B9" s="13"/>
      <c r="C9" s="13"/>
      <c r="D9" s="18"/>
      <c r="E9" s="14"/>
      <c r="F9" s="14"/>
      <c r="G9" s="22"/>
      <c r="H9" s="16">
        <f t="shared" ref="H9:H10" si="1">H8-G9</f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34"/>
      <c r="B10" s="13"/>
      <c r="C10" s="13"/>
      <c r="D10" s="18"/>
      <c r="E10" s="14"/>
      <c r="F10" s="14"/>
      <c r="G10" s="22"/>
      <c r="H10" s="16">
        <f t="shared" si="1"/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5.75" customHeight="1">
      <c r="A11" s="34"/>
      <c r="B11" s="13"/>
      <c r="C11" s="13"/>
      <c r="D11" s="18"/>
      <c r="E11" s="14"/>
      <c r="F11" s="14"/>
      <c r="G11" s="22"/>
      <c r="H11" s="16">
        <f>H10+G11</f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5.75" customHeight="1">
      <c r="A12" s="34"/>
      <c r="B12" s="13"/>
      <c r="C12" s="13"/>
      <c r="D12" s="18"/>
      <c r="E12" s="14"/>
      <c r="F12" s="14"/>
      <c r="G12" s="22"/>
      <c r="H12" s="16">
        <f>H11-G12</f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5.75" customHeight="1">
      <c r="A13" s="34"/>
      <c r="B13" s="13"/>
      <c r="C13" s="13"/>
      <c r="D13" s="18"/>
      <c r="E13" s="14"/>
      <c r="F13" s="19"/>
      <c r="G13" s="22"/>
      <c r="H13" s="20">
        <f>H12+G13</f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>
      <c r="A14" s="34"/>
      <c r="B14" s="13"/>
      <c r="C14" s="13"/>
      <c r="D14" s="18"/>
      <c r="E14" s="14"/>
      <c r="F14" s="19"/>
      <c r="G14" s="22"/>
      <c r="H14" s="20">
        <f>H13-G14</f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>
      <c r="A15" s="34"/>
      <c r="B15" s="13"/>
      <c r="C15" s="13"/>
      <c r="D15" s="18"/>
      <c r="E15" s="14"/>
      <c r="F15" s="19"/>
      <c r="G15" s="22"/>
      <c r="H15" s="20">
        <f>H14+G15</f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>
      <c r="A16" s="34"/>
      <c r="B16" s="13"/>
      <c r="C16" s="13"/>
      <c r="D16" s="17"/>
      <c r="E16" s="14"/>
      <c r="F16" s="19"/>
      <c r="G16" s="22"/>
      <c r="H16" s="20">
        <f t="shared" ref="H16:H18" si="2">H15-G16</f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5.75" customHeight="1">
      <c r="A17" s="21"/>
      <c r="B17" s="13"/>
      <c r="C17" s="13"/>
      <c r="D17" s="13"/>
      <c r="E17" s="14"/>
      <c r="F17" s="19"/>
      <c r="G17" s="22"/>
      <c r="H17" s="20">
        <f t="shared" si="2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21"/>
      <c r="B18" s="13"/>
      <c r="C18" s="13"/>
      <c r="D18" s="18"/>
      <c r="E18" s="14"/>
      <c r="F18" s="19"/>
      <c r="G18" s="22"/>
      <c r="H18" s="20">
        <f t="shared" si="2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>
      <c r="A19" s="21"/>
      <c r="B19" s="13"/>
      <c r="C19" s="13"/>
      <c r="D19" s="13"/>
      <c r="E19" s="14"/>
      <c r="F19" s="19"/>
      <c r="G19" s="22"/>
      <c r="H19" s="20">
        <f>H18+G19</f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5.75" customHeight="1">
      <c r="A20" s="21"/>
      <c r="B20" s="13"/>
      <c r="C20" s="13"/>
      <c r="D20" s="18"/>
      <c r="E20" s="14"/>
      <c r="F20" s="19"/>
      <c r="G20" s="22"/>
      <c r="H20" s="20">
        <f t="shared" ref="H20:H21" si="3">H19-G20</f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21"/>
      <c r="B21" s="13"/>
      <c r="C21" s="13"/>
      <c r="D21" s="23"/>
      <c r="E21" s="14"/>
      <c r="F21" s="19"/>
      <c r="G21" s="22"/>
      <c r="H21" s="20">
        <f t="shared" si="3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21"/>
      <c r="B22" s="13"/>
      <c r="C22" s="13"/>
      <c r="D22" s="13"/>
      <c r="E22" s="14"/>
      <c r="F22" s="19"/>
      <c r="G22" s="22"/>
      <c r="H22" s="20">
        <f>H21+G22</f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21"/>
      <c r="B23" s="13"/>
      <c r="C23" s="13"/>
      <c r="D23" s="13"/>
      <c r="E23" s="14"/>
      <c r="F23" s="19"/>
      <c r="G23" s="22"/>
      <c r="H23" s="20">
        <f>H22-G23</f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21"/>
      <c r="B24" s="35"/>
      <c r="C24" s="35"/>
      <c r="D24" s="13"/>
      <c r="E24" s="14"/>
      <c r="F24" s="36"/>
      <c r="G24" s="22"/>
      <c r="H24" s="37">
        <f>H23+G24</f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21"/>
      <c r="B25" s="35"/>
      <c r="C25" s="35"/>
      <c r="D25" s="35"/>
      <c r="E25" s="14"/>
      <c r="F25" s="36"/>
      <c r="G25" s="22"/>
      <c r="H25" s="37">
        <f t="shared" ref="H25:H26" si="4">H24-G25</f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21"/>
      <c r="B26" s="35"/>
      <c r="C26" s="35"/>
      <c r="D26" s="35"/>
      <c r="E26" s="14"/>
      <c r="F26" s="36"/>
      <c r="G26" s="22"/>
      <c r="H26" s="37">
        <f t="shared" si="4"/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21"/>
      <c r="B27" s="38"/>
      <c r="C27" s="38"/>
      <c r="D27" s="13"/>
      <c r="E27" s="14"/>
      <c r="F27" s="36"/>
      <c r="G27" s="22"/>
      <c r="H27" s="37">
        <f>H26+G27</f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21"/>
      <c r="B28" s="38"/>
      <c r="C28" s="38"/>
      <c r="D28" s="38"/>
      <c r="E28" s="14"/>
      <c r="F28" s="36"/>
      <c r="G28" s="22"/>
      <c r="H28" s="37">
        <f t="shared" ref="H28:H29" si="5">H27-G28</f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21"/>
      <c r="B29" s="38"/>
      <c r="C29" s="38"/>
      <c r="D29" s="38"/>
      <c r="E29" s="14"/>
      <c r="F29" s="36"/>
      <c r="G29" s="22"/>
      <c r="H29" s="37">
        <f t="shared" si="5"/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21"/>
      <c r="B30" s="13"/>
      <c r="C30" s="13"/>
      <c r="D30" s="13"/>
      <c r="E30" s="14"/>
      <c r="F30" s="26"/>
      <c r="G30" s="22"/>
      <c r="H30" s="37">
        <f>H29+G30</f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21"/>
      <c r="B31" s="13"/>
      <c r="C31" s="13"/>
      <c r="D31" s="26"/>
      <c r="E31" s="14"/>
      <c r="F31" s="26"/>
      <c r="G31" s="22"/>
      <c r="H31" s="37">
        <f>H30-G31</f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21"/>
      <c r="B32" s="13"/>
      <c r="C32" s="13"/>
      <c r="D32" s="13"/>
      <c r="E32" s="14"/>
      <c r="F32" s="26"/>
      <c r="G32" s="22"/>
      <c r="H32" s="37">
        <f>H31+G32</f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21"/>
      <c r="B33" s="13"/>
      <c r="C33" s="13"/>
      <c r="D33" s="39"/>
      <c r="E33" s="14"/>
      <c r="F33" s="26"/>
      <c r="G33" s="22"/>
      <c r="H33" s="37">
        <f t="shared" ref="H33:H35" si="6">H32-G33</f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21"/>
      <c r="B34" s="13"/>
      <c r="C34" s="13"/>
      <c r="D34" s="40"/>
      <c r="E34" s="14"/>
      <c r="F34" s="26"/>
      <c r="G34" s="22"/>
      <c r="H34" s="37">
        <f t="shared" si="6"/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21"/>
      <c r="B35" s="13"/>
      <c r="C35" s="13"/>
      <c r="D35" s="41"/>
      <c r="E35" s="14"/>
      <c r="F35" s="26"/>
      <c r="G35" s="22"/>
      <c r="H35" s="37">
        <f t="shared" si="6"/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21"/>
      <c r="B36" s="13"/>
      <c r="C36" s="13"/>
      <c r="D36" s="42"/>
      <c r="E36" s="14"/>
      <c r="F36" s="26"/>
      <c r="G36" s="22"/>
      <c r="H36" s="37">
        <f>H35+G36</f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21"/>
      <c r="B37" s="13"/>
      <c r="C37" s="13"/>
      <c r="D37" s="41"/>
      <c r="E37" s="14"/>
      <c r="F37" s="26"/>
      <c r="G37" s="22"/>
      <c r="H37" s="37">
        <f>H36-G37</f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21"/>
      <c r="B38" s="13"/>
      <c r="C38" s="13"/>
      <c r="D38" s="42"/>
      <c r="E38" s="14"/>
      <c r="F38" s="26"/>
      <c r="G38" s="22"/>
      <c r="H38" s="37">
        <f>H37+G38</f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14"/>
      <c r="B39" s="13"/>
      <c r="C39" s="13"/>
      <c r="D39" s="42"/>
      <c r="E39" s="14"/>
      <c r="F39" s="43"/>
      <c r="G39" s="22"/>
      <c r="H39" s="44">
        <f>H38-G39</f>
        <v>0</v>
      </c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</row>
    <row r="40" ht="15.75" customHeight="1">
      <c r="A40" s="14"/>
      <c r="B40" s="13"/>
      <c r="C40" s="13"/>
      <c r="D40" s="42"/>
      <c r="E40" s="14"/>
      <c r="F40" s="43"/>
      <c r="G40" s="22"/>
      <c r="H40" s="44">
        <f>H39+G40</f>
        <v>0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</row>
    <row r="41" ht="15.75" customHeight="1">
      <c r="A41" s="14"/>
      <c r="B41" s="13"/>
      <c r="C41" s="13"/>
      <c r="D41" s="42"/>
      <c r="E41" s="14"/>
      <c r="F41" s="43"/>
      <c r="G41" s="22"/>
      <c r="H41" s="44">
        <f>H40-G41</f>
        <v>0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</row>
    <row r="42" ht="15.75" customHeight="1">
      <c r="A42" s="14"/>
      <c r="B42" s="13"/>
      <c r="C42" s="13"/>
      <c r="D42" s="42"/>
      <c r="E42" s="14"/>
      <c r="F42" s="43"/>
      <c r="G42" s="22"/>
      <c r="H42" s="44">
        <f>H41+G42</f>
        <v>0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</row>
    <row r="43" ht="15.75" customHeight="1">
      <c r="A43" s="14"/>
      <c r="B43" s="13"/>
      <c r="C43" s="13"/>
      <c r="D43" s="42"/>
      <c r="E43" s="14"/>
      <c r="F43" s="43"/>
      <c r="G43" s="22"/>
      <c r="H43" s="44">
        <f t="shared" ref="H43:H44" si="7">H42-G43</f>
        <v>0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</row>
    <row r="44" ht="15.75" customHeight="1">
      <c r="A44" s="14"/>
      <c r="B44" s="13"/>
      <c r="C44" s="13"/>
      <c r="D44" s="42"/>
      <c r="E44" s="14"/>
      <c r="F44" s="43"/>
      <c r="G44" s="22"/>
      <c r="H44" s="44">
        <f t="shared" si="7"/>
        <v>0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</row>
    <row r="45" ht="15.75" customHeight="1">
      <c r="A45" s="14"/>
      <c r="B45" s="13"/>
      <c r="C45" s="13"/>
      <c r="D45" s="42"/>
      <c r="E45" s="14"/>
      <c r="F45" s="43"/>
      <c r="G45" s="22"/>
      <c r="H45" s="44">
        <f>H44+G45</f>
        <v>0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</row>
    <row r="46" ht="15.75" customHeight="1">
      <c r="A46" s="14"/>
      <c r="B46" s="13"/>
      <c r="C46" s="13"/>
      <c r="D46" s="42"/>
      <c r="E46" s="14"/>
      <c r="F46" s="43"/>
      <c r="G46" s="22"/>
      <c r="H46" s="44">
        <f t="shared" ref="H46:H47" si="8">H45-G46</f>
        <v>0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</row>
    <row r="47" ht="15.75" customHeight="1">
      <c r="A47" s="14"/>
      <c r="B47" s="13"/>
      <c r="C47" s="13"/>
      <c r="D47" s="42"/>
      <c r="E47" s="14"/>
      <c r="F47" s="43"/>
      <c r="G47" s="22"/>
      <c r="H47" s="44">
        <f t="shared" si="8"/>
        <v>0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</row>
    <row r="48" ht="15.75" customHeight="1">
      <c r="A48" s="14"/>
      <c r="B48" s="13"/>
      <c r="C48" s="13"/>
      <c r="D48" s="42"/>
      <c r="E48" s="14"/>
      <c r="F48" s="43"/>
      <c r="G48" s="22"/>
      <c r="H48" s="44">
        <f>H47+G48</f>
        <v>0</v>
      </c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 ht="15.75" customHeight="1">
      <c r="A49" s="14"/>
      <c r="B49" s="13"/>
      <c r="C49" s="13"/>
      <c r="D49" s="42"/>
      <c r="E49" s="14"/>
      <c r="F49" s="43"/>
      <c r="G49" s="22"/>
      <c r="H49" s="44">
        <f t="shared" ref="H49:H50" si="9">H48-G49</f>
        <v>0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ht="15.75" customHeight="1">
      <c r="A50" s="14"/>
      <c r="B50" s="13"/>
      <c r="C50" s="13"/>
      <c r="D50" s="42"/>
      <c r="E50" s="14"/>
      <c r="F50" s="43"/>
      <c r="G50" s="22"/>
      <c r="H50" s="44">
        <f t="shared" si="9"/>
        <v>0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 ht="15.75" customHeight="1">
      <c r="A51" s="14"/>
      <c r="B51" s="13"/>
      <c r="C51" s="13"/>
      <c r="D51" s="42"/>
      <c r="E51" s="46"/>
      <c r="F51" s="43"/>
      <c r="G51" s="22"/>
      <c r="H51" s="44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 ht="15.75" customHeight="1">
      <c r="A52" s="14"/>
      <c r="B52" s="13"/>
      <c r="C52" s="13"/>
      <c r="D52" s="42"/>
      <c r="E52" s="46"/>
      <c r="F52" s="43"/>
      <c r="G52" s="22"/>
      <c r="H52" s="44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 ht="15.75" customHeight="1">
      <c r="A53" s="14"/>
      <c r="B53" s="13"/>
      <c r="C53" s="13"/>
      <c r="D53" s="42"/>
      <c r="E53" s="46"/>
      <c r="F53" s="43"/>
      <c r="G53" s="22"/>
      <c r="H53" s="44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</row>
    <row r="54" ht="15.75" customHeight="1">
      <c r="A54" s="14"/>
      <c r="B54" s="13"/>
      <c r="C54" s="13"/>
      <c r="D54" s="42"/>
      <c r="E54" s="46"/>
      <c r="F54" s="43"/>
      <c r="G54" s="22"/>
      <c r="H54" s="44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</row>
    <row r="55" ht="15.75" customHeight="1">
      <c r="A55" s="14"/>
      <c r="B55" s="13"/>
      <c r="C55" s="13"/>
      <c r="D55" s="47"/>
      <c r="E55" s="46"/>
      <c r="F55" s="43"/>
      <c r="G55" s="22"/>
      <c r="H55" s="44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</row>
    <row r="56" ht="15.75" customHeight="1">
      <c r="A56" s="14"/>
      <c r="B56" s="13"/>
      <c r="C56" s="13"/>
      <c r="D56" s="42"/>
      <c r="E56" s="14"/>
      <c r="F56" s="43"/>
      <c r="G56" s="22"/>
      <c r="H56" s="44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</row>
    <row r="57" ht="15.75" customHeight="1">
      <c r="A57" s="14"/>
      <c r="B57" s="13"/>
      <c r="C57" s="13"/>
      <c r="D57" s="48"/>
      <c r="E57" s="14"/>
      <c r="F57" s="43"/>
      <c r="G57" s="22"/>
      <c r="H57" s="44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 ht="15.75" customHeight="1">
      <c r="A58" s="14"/>
      <c r="B58" s="13"/>
      <c r="C58" s="13"/>
      <c r="D58" s="48"/>
      <c r="E58" s="14"/>
      <c r="F58" s="43"/>
      <c r="G58" s="22"/>
      <c r="H58" s="44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</row>
    <row r="59" ht="15.75" customHeight="1">
      <c r="A59" s="14"/>
      <c r="B59" s="13"/>
      <c r="C59" s="13"/>
      <c r="D59" s="42"/>
      <c r="E59" s="14"/>
      <c r="F59" s="43"/>
      <c r="G59" s="22"/>
      <c r="H59" s="44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</row>
    <row r="60" ht="15.75" customHeight="1">
      <c r="A60" s="14"/>
      <c r="B60" s="13"/>
      <c r="C60" s="13"/>
      <c r="D60" s="48"/>
      <c r="E60" s="14"/>
      <c r="F60" s="43"/>
      <c r="G60" s="22"/>
      <c r="H60" s="44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</row>
    <row r="61" ht="15.75" customHeight="1">
      <c r="A61" s="49"/>
      <c r="B61" s="50"/>
      <c r="C61" s="50"/>
      <c r="D61" s="50"/>
      <c r="E61" s="18"/>
      <c r="F61" s="43"/>
      <c r="G61" s="51"/>
      <c r="H61" s="51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</row>
    <row r="62" ht="15.75" customHeight="1">
      <c r="A62" s="52" t="s">
        <v>17</v>
      </c>
      <c r="B62" s="53"/>
      <c r="C62" s="53"/>
      <c r="D62" s="53"/>
      <c r="E62" s="54"/>
      <c r="F62" s="31"/>
      <c r="G62" s="32"/>
      <c r="H62" s="32">
        <f>H50</f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55"/>
      <c r="B63" s="3"/>
      <c r="C63" s="3"/>
      <c r="D63" s="3"/>
      <c r="E63" s="55"/>
      <c r="F63" s="3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55"/>
      <c r="B64" s="3"/>
      <c r="C64" s="3"/>
      <c r="D64" s="3"/>
      <c r="E64" s="55"/>
      <c r="F64" s="3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55"/>
      <c r="B65" s="3"/>
      <c r="C65" s="3"/>
      <c r="D65" s="3"/>
      <c r="E65" s="55"/>
      <c r="F65" s="3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3"/>
      <c r="B991" s="3"/>
      <c r="C991" s="3"/>
      <c r="D991" s="3"/>
      <c r="E991" s="3"/>
      <c r="F991" s="3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3"/>
      <c r="B992" s="3"/>
      <c r="C992" s="3"/>
      <c r="D992" s="3"/>
      <c r="E992" s="3"/>
      <c r="F992" s="3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3"/>
      <c r="B993" s="3"/>
      <c r="C993" s="3"/>
      <c r="D993" s="3"/>
      <c r="E993" s="3"/>
      <c r="F993" s="3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3"/>
      <c r="B994" s="3"/>
      <c r="C994" s="3"/>
      <c r="D994" s="3"/>
      <c r="E994" s="3"/>
      <c r="F994" s="3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>
      <c r="A995" s="3"/>
      <c r="B995" s="3"/>
      <c r="C995" s="3"/>
      <c r="D995" s="3"/>
      <c r="E995" s="3"/>
      <c r="F995" s="3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>
      <c r="A996" s="3"/>
      <c r="B996" s="3"/>
      <c r="C996" s="3"/>
      <c r="D996" s="3"/>
      <c r="E996" s="3"/>
      <c r="F996" s="3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>
      <c r="A997" s="3"/>
      <c r="B997" s="3"/>
      <c r="C997" s="3"/>
      <c r="D997" s="3"/>
      <c r="E997" s="3"/>
      <c r="F997" s="3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>
      <c r="A998" s="3"/>
      <c r="B998" s="3"/>
      <c r="C998" s="3"/>
      <c r="D998" s="3"/>
      <c r="E998" s="3"/>
      <c r="F998" s="3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>
      <c r="A999" s="3"/>
      <c r="B999" s="3"/>
      <c r="C999" s="3"/>
      <c r="D999" s="3"/>
      <c r="E999" s="3"/>
      <c r="F999" s="3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ht="15.75" customHeight="1">
      <c r="A1000" s="3"/>
      <c r="B1000" s="3"/>
      <c r="C1000" s="3"/>
      <c r="D1000" s="3"/>
      <c r="E1000" s="3"/>
      <c r="F1000" s="3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ht="15.75" customHeight="1">
      <c r="A1001" s="3"/>
      <c r="B1001" s="3"/>
      <c r="C1001" s="3"/>
      <c r="D1001" s="3"/>
      <c r="E1001" s="3"/>
      <c r="F1001" s="3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ht="15.75" customHeight="1">
      <c r="A1002" s="3"/>
      <c r="B1002" s="3"/>
      <c r="C1002" s="3"/>
      <c r="D1002" s="3"/>
      <c r="E1002" s="3"/>
      <c r="F1002" s="3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ht="15.75" customHeight="1">
      <c r="A1003" s="3"/>
      <c r="B1003" s="3"/>
      <c r="C1003" s="3"/>
      <c r="D1003" s="3"/>
      <c r="E1003" s="3"/>
      <c r="F1003" s="3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ht="15.75" customHeight="1">
      <c r="A1004" s="3"/>
      <c r="B1004" s="3"/>
      <c r="C1004" s="3"/>
      <c r="D1004" s="3"/>
      <c r="E1004" s="3"/>
      <c r="F1004" s="3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ht="15.75" customHeight="1">
      <c r="A1005" s="3"/>
      <c r="B1005" s="3"/>
      <c r="C1005" s="3"/>
      <c r="D1005" s="3"/>
      <c r="E1005" s="3"/>
      <c r="F1005" s="3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ht="15.75" customHeight="1">
      <c r="A1006" s="3"/>
      <c r="B1006" s="3"/>
      <c r="C1006" s="3"/>
      <c r="D1006" s="3"/>
      <c r="E1006" s="3"/>
      <c r="F1006" s="3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ht="15.75" customHeight="1">
      <c r="A1007" s="3"/>
      <c r="B1007" s="3"/>
      <c r="C1007" s="3"/>
      <c r="D1007" s="3"/>
      <c r="E1007" s="3"/>
      <c r="F1007" s="3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ht="15.75" customHeight="1">
      <c r="A1008" s="3"/>
      <c r="B1008" s="3"/>
      <c r="C1008" s="3"/>
      <c r="D1008" s="3"/>
      <c r="E1008" s="3"/>
      <c r="F1008" s="3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 ht="15.75" customHeight="1">
      <c r="A1009" s="3"/>
      <c r="B1009" s="3"/>
      <c r="C1009" s="3"/>
      <c r="D1009" s="3"/>
      <c r="E1009" s="3"/>
      <c r="F1009" s="3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 ht="15.75" customHeight="1">
      <c r="A1010" s="3"/>
      <c r="B1010" s="3"/>
      <c r="C1010" s="3"/>
      <c r="D1010" s="3"/>
      <c r="E1010" s="3"/>
      <c r="F1010" s="3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 ht="15.75" customHeight="1">
      <c r="A1011" s="3"/>
      <c r="B1011" s="3"/>
      <c r="C1011" s="3"/>
      <c r="D1011" s="3"/>
      <c r="E1011" s="3"/>
      <c r="F1011" s="3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 ht="15.75" customHeight="1">
      <c r="A1012" s="3"/>
      <c r="B1012" s="3"/>
      <c r="C1012" s="3"/>
      <c r="D1012" s="3"/>
      <c r="E1012" s="3"/>
      <c r="F1012" s="3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 ht="15.75" customHeight="1">
      <c r="A1013" s="3"/>
      <c r="B1013" s="3"/>
      <c r="C1013" s="3"/>
      <c r="D1013" s="3"/>
      <c r="E1013" s="3"/>
      <c r="F1013" s="3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 ht="15.75" customHeight="1">
      <c r="A1014" s="3"/>
      <c r="B1014" s="3"/>
      <c r="C1014" s="3"/>
      <c r="D1014" s="3"/>
      <c r="E1014" s="3"/>
      <c r="F1014" s="3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 ht="15.75" customHeight="1">
      <c r="A1015" s="3"/>
      <c r="B1015" s="3"/>
      <c r="C1015" s="3"/>
      <c r="D1015" s="3"/>
      <c r="E1015" s="3"/>
      <c r="F1015" s="3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 ht="15.75" customHeight="1">
      <c r="A1016" s="3"/>
      <c r="B1016" s="3"/>
      <c r="C1016" s="3"/>
      <c r="D1016" s="3"/>
      <c r="E1016" s="3"/>
      <c r="F1016" s="3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 ht="15.75" customHeight="1">
      <c r="A1017" s="3"/>
      <c r="B1017" s="3"/>
      <c r="C1017" s="3"/>
      <c r="D1017" s="3"/>
      <c r="E1017" s="3"/>
      <c r="F1017" s="3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 ht="15.75" customHeight="1">
      <c r="A1018" s="3"/>
      <c r="B1018" s="3"/>
      <c r="C1018" s="3"/>
      <c r="D1018" s="3"/>
      <c r="E1018" s="3"/>
      <c r="F1018" s="3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 ht="15.75" customHeight="1">
      <c r="A1019" s="3"/>
      <c r="B1019" s="3"/>
      <c r="C1019" s="3"/>
      <c r="D1019" s="3"/>
      <c r="E1019" s="3"/>
      <c r="F1019" s="3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 ht="15.75" customHeight="1">
      <c r="A1020" s="3"/>
      <c r="B1020" s="3"/>
      <c r="C1020" s="3"/>
      <c r="D1020" s="3"/>
      <c r="E1020" s="3"/>
      <c r="F1020" s="3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ht="15.75" customHeight="1">
      <c r="A1021" s="3"/>
      <c r="B1021" s="3"/>
      <c r="C1021" s="3"/>
      <c r="D1021" s="3"/>
      <c r="E1021" s="3"/>
      <c r="F1021" s="3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 ht="15.75" customHeight="1">
      <c r="A1022" s="3"/>
      <c r="B1022" s="3"/>
      <c r="C1022" s="3"/>
      <c r="D1022" s="3"/>
      <c r="E1022" s="3"/>
      <c r="F1022" s="3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 ht="15.75" customHeight="1">
      <c r="A1023" s="3"/>
      <c r="B1023" s="3"/>
      <c r="C1023" s="3"/>
      <c r="D1023" s="3"/>
      <c r="E1023" s="3"/>
      <c r="F1023" s="3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 ht="15.75" customHeight="1">
      <c r="A1024" s="3"/>
      <c r="B1024" s="3"/>
      <c r="C1024" s="3"/>
      <c r="D1024" s="3"/>
      <c r="E1024" s="3"/>
      <c r="F1024" s="3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 ht="15.75" customHeight="1">
      <c r="A1025" s="3"/>
      <c r="B1025" s="3"/>
      <c r="C1025" s="3"/>
      <c r="D1025" s="3"/>
      <c r="E1025" s="3"/>
      <c r="F1025" s="3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</row>
    <row r="1026" ht="15.75" customHeight="1">
      <c r="A1026" s="3"/>
      <c r="B1026" s="3"/>
      <c r="C1026" s="3"/>
      <c r="D1026" s="3"/>
      <c r="E1026" s="3"/>
      <c r="F1026" s="3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</sheetData>
  <autoFilter ref="$A$7:$A$62">
    <sortState ref="A7:A62">
      <sortCondition ref="A7:A62"/>
    </sortState>
  </autoFilter>
  <mergeCells count="2">
    <mergeCell ref="A1:H1"/>
    <mergeCell ref="B3:H3"/>
  </mergeCells>
  <dataValidations>
    <dataValidation type="list" allowBlank="1" showErrorMessage="1" sqref="C8:C60">
      <formula1>Categoria</formula1>
    </dataValidation>
    <dataValidation type="list" allowBlank="1" showErrorMessage="1" sqref="B8:B60">
      <formula1>tipo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0.86"/>
    <col customWidth="1" min="3" max="3" width="19.86"/>
    <col customWidth="1" min="4" max="4" width="17.0"/>
    <col customWidth="1" min="5" max="5" width="60.0"/>
    <col customWidth="1" min="6" max="6" width="22.57"/>
    <col customWidth="1" min="7" max="7" width="14.86"/>
    <col customWidth="1" min="8" max="8" width="11.43"/>
    <col customWidth="1" min="9" max="21" width="9.14"/>
  </cols>
  <sheetData>
    <row r="1">
      <c r="A1" s="56" t="s">
        <v>21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/>
      <c r="B2" s="4"/>
      <c r="C2" s="4"/>
      <c r="D2" s="4"/>
      <c r="E2" s="4"/>
      <c r="F2" s="5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6" t="s">
        <v>1</v>
      </c>
      <c r="B3" s="7" t="s">
        <v>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6" t="s">
        <v>3</v>
      </c>
      <c r="B4" s="4" t="s">
        <v>4</v>
      </c>
      <c r="C4" s="4"/>
      <c r="D4" s="4"/>
      <c r="E4" s="4"/>
      <c r="F4" s="5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6" t="s">
        <v>5</v>
      </c>
      <c r="B5" s="4" t="s">
        <v>6</v>
      </c>
      <c r="C5" s="57" t="s">
        <v>22</v>
      </c>
      <c r="D5" s="4"/>
      <c r="E5" s="4"/>
      <c r="F5" s="5"/>
      <c r="G5" s="6" t="s">
        <v>8</v>
      </c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4"/>
      <c r="B6" s="4"/>
      <c r="C6" s="4"/>
      <c r="D6" s="4"/>
      <c r="E6" s="4"/>
      <c r="F6" s="5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9" t="s">
        <v>9</v>
      </c>
      <c r="B7" s="9" t="s">
        <v>10</v>
      </c>
      <c r="C7" s="9" t="s">
        <v>11</v>
      </c>
      <c r="D7" s="10" t="s">
        <v>12</v>
      </c>
      <c r="E7" s="9" t="s">
        <v>13</v>
      </c>
      <c r="F7" s="11" t="s">
        <v>14</v>
      </c>
      <c r="G7" s="9" t="s">
        <v>15</v>
      </c>
      <c r="H7" s="9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2"/>
      <c r="B8" s="13"/>
      <c r="C8" s="13"/>
      <c r="D8" s="14"/>
      <c r="E8" s="14"/>
      <c r="F8" s="14"/>
      <c r="G8" s="15"/>
      <c r="H8" s="16">
        <f>H5-G8</f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12"/>
      <c r="B9" s="13"/>
      <c r="C9" s="13"/>
      <c r="D9" s="14"/>
      <c r="E9" s="14"/>
      <c r="F9" s="14"/>
      <c r="G9" s="15"/>
      <c r="H9" s="16">
        <f>H8+G9</f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12"/>
      <c r="B10" s="13"/>
      <c r="C10" s="13"/>
      <c r="D10" s="14"/>
      <c r="E10" s="14"/>
      <c r="F10" s="14"/>
      <c r="G10" s="15"/>
      <c r="H10" s="16">
        <f>H9-G10</f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5.75" customHeight="1">
      <c r="A11" s="12"/>
      <c r="B11" s="13"/>
      <c r="C11" s="13"/>
      <c r="D11" s="17"/>
      <c r="E11" s="14"/>
      <c r="F11" s="14"/>
      <c r="G11" s="16"/>
      <c r="H11" s="16">
        <f>H10+G11</f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5.75" customHeight="1">
      <c r="A12" s="12"/>
      <c r="B12" s="13"/>
      <c r="C12" s="13"/>
      <c r="D12" s="18"/>
      <c r="E12" s="14"/>
      <c r="F12" s="14"/>
      <c r="G12" s="16"/>
      <c r="H12" s="16">
        <f>H11-G12</f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5.75" customHeight="1">
      <c r="A13" s="12"/>
      <c r="B13" s="13"/>
      <c r="C13" s="13"/>
      <c r="D13" s="18"/>
      <c r="E13" s="14"/>
      <c r="F13" s="19"/>
      <c r="G13" s="16"/>
      <c r="H13" s="20">
        <f>H12+G13</f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>
      <c r="A14" s="12"/>
      <c r="B14" s="13"/>
      <c r="C14" s="13"/>
      <c r="D14" s="18"/>
      <c r="E14" s="14"/>
      <c r="F14" s="19"/>
      <c r="G14" s="16"/>
      <c r="H14" s="20">
        <f>H13-G14</f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>
      <c r="A15" s="12"/>
      <c r="B15" s="13"/>
      <c r="C15" s="13"/>
      <c r="D15" s="18"/>
      <c r="E15" s="14"/>
      <c r="F15" s="19"/>
      <c r="G15" s="16"/>
      <c r="H15" s="20">
        <f>H14+G15</f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>
      <c r="A16" s="12"/>
      <c r="B16" s="13"/>
      <c r="C16" s="13"/>
      <c r="D16" s="17"/>
      <c r="E16" s="14"/>
      <c r="F16" s="19"/>
      <c r="G16" s="16"/>
      <c r="H16" s="20">
        <f>H15-G16</f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5.75" customHeight="1">
      <c r="A17" s="12"/>
      <c r="B17" s="13"/>
      <c r="C17" s="13"/>
      <c r="D17" s="13"/>
      <c r="E17" s="14"/>
      <c r="F17" s="19"/>
      <c r="G17" s="16"/>
      <c r="H17" s="20">
        <f t="shared" ref="H17:H24" si="1">H16+G17</f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21"/>
      <c r="B18" s="13"/>
      <c r="C18" s="13"/>
      <c r="D18" s="18"/>
      <c r="E18" s="14"/>
      <c r="F18" s="19"/>
      <c r="G18" s="22"/>
      <c r="H18" s="20">
        <f t="shared" si="1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>
      <c r="A19" s="21"/>
      <c r="B19" s="13"/>
      <c r="C19" s="13"/>
      <c r="D19" s="13"/>
      <c r="E19" s="14"/>
      <c r="F19" s="19"/>
      <c r="G19" s="22"/>
      <c r="H19" s="20">
        <f t="shared" si="1"/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5.75" customHeight="1">
      <c r="A20" s="21"/>
      <c r="B20" s="13"/>
      <c r="C20" s="13"/>
      <c r="D20" s="18"/>
      <c r="E20" s="14"/>
      <c r="F20" s="19"/>
      <c r="G20" s="22"/>
      <c r="H20" s="20">
        <f t="shared" si="1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21"/>
      <c r="B21" s="13"/>
      <c r="C21" s="13"/>
      <c r="D21" s="23"/>
      <c r="E21" s="14"/>
      <c r="F21" s="19"/>
      <c r="G21" s="22"/>
      <c r="H21" s="20">
        <f t="shared" si="1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21"/>
      <c r="B22" s="13"/>
      <c r="C22" s="13"/>
      <c r="D22" s="13"/>
      <c r="E22" s="14"/>
      <c r="F22" s="19"/>
      <c r="G22" s="22"/>
      <c r="H22" s="20">
        <f t="shared" si="1"/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21"/>
      <c r="B23" s="13"/>
      <c r="C23" s="13"/>
      <c r="D23" s="13"/>
      <c r="E23" s="14"/>
      <c r="F23" s="19"/>
      <c r="G23" s="22"/>
      <c r="H23" s="20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24"/>
      <c r="B24" s="13"/>
      <c r="C24" s="13"/>
      <c r="D24" s="25"/>
      <c r="E24" s="14"/>
      <c r="F24" s="26"/>
      <c r="G24" s="27"/>
      <c r="H24" s="20">
        <f t="shared" si="1"/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24"/>
      <c r="B25" s="13"/>
      <c r="C25" s="13"/>
      <c r="D25" s="26"/>
      <c r="E25" s="14"/>
      <c r="F25" s="26"/>
      <c r="G25" s="28"/>
      <c r="H25" s="5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29" t="s">
        <v>17</v>
      </c>
      <c r="B26" s="30"/>
      <c r="C26" s="30"/>
      <c r="D26" s="30"/>
      <c r="E26" s="30"/>
      <c r="F26" s="31"/>
      <c r="G26" s="32"/>
      <c r="H26" s="32">
        <f>H17</f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3"/>
      <c r="B27" s="3"/>
      <c r="C27" s="3"/>
      <c r="D27" s="3"/>
      <c r="E27" s="3"/>
      <c r="F27" s="3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/>
      <c r="B28" s="3"/>
      <c r="C28" s="3"/>
      <c r="D28" s="3"/>
      <c r="E28" s="3"/>
      <c r="F28" s="3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</sheetData>
  <mergeCells count="2">
    <mergeCell ref="A1:H1"/>
    <mergeCell ref="B3:H3"/>
  </mergeCells>
  <dataValidations>
    <dataValidation type="list" allowBlank="1" showErrorMessage="1" sqref="C8:C25">
      <formula1>Categoria</formula1>
    </dataValidation>
    <dataValidation type="list" allowBlank="1" showErrorMessage="1" sqref="B8:B25">
      <formula1>tipo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2" max="2" width="25.0"/>
    <col customWidth="1" min="3" max="3" width="14.29"/>
    <col customWidth="1" min="4" max="4" width="22.14"/>
    <col customWidth="1" min="5" max="5" width="29.14"/>
    <col customWidth="1" min="6" max="6" width="12.14"/>
    <col customWidth="1" min="7" max="7" width="19.14"/>
    <col customWidth="1" min="8" max="26" width="9.14"/>
  </cols>
  <sheetData>
    <row r="1">
      <c r="A1" s="1" t="s">
        <v>23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9" t="s">
        <v>1</v>
      </c>
      <c r="B3" s="3" t="s">
        <v>24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9" t="s">
        <v>25</v>
      </c>
      <c r="B5" s="60">
        <v>101.0</v>
      </c>
      <c r="C5" s="3"/>
      <c r="D5" s="3"/>
      <c r="E5" s="3"/>
      <c r="F5" s="59"/>
      <c r="G5" s="6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9" t="s">
        <v>26</v>
      </c>
      <c r="B6" s="62">
        <v>44972.0</v>
      </c>
      <c r="C6" s="62"/>
      <c r="D6" s="59"/>
      <c r="E6" s="3"/>
      <c r="F6" s="59"/>
      <c r="G6" s="6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9" t="s">
        <v>27</v>
      </c>
      <c r="B7" s="3" t="s">
        <v>28</v>
      </c>
      <c r="C7" s="62"/>
      <c r="D7" s="59"/>
      <c r="E7" s="3"/>
      <c r="F7" s="59"/>
      <c r="G7" s="6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9"/>
      <c r="B8" s="59"/>
      <c r="C8" s="62"/>
      <c r="D8" s="59"/>
      <c r="E8" s="3"/>
      <c r="F8" s="59"/>
      <c r="G8" s="6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3" t="s">
        <v>9</v>
      </c>
      <c r="B10" s="63" t="s">
        <v>29</v>
      </c>
      <c r="C10" s="63" t="s">
        <v>30</v>
      </c>
      <c r="D10" s="63" t="s">
        <v>13</v>
      </c>
      <c r="E10" s="63" t="s">
        <v>14</v>
      </c>
      <c r="F10" s="63" t="s">
        <v>15</v>
      </c>
      <c r="G10" s="63" t="s">
        <v>31</v>
      </c>
      <c r="H10" s="3"/>
      <c r="I10" s="64" t="s">
        <v>32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5"/>
      <c r="B11" s="66"/>
      <c r="C11" s="66"/>
      <c r="D11" s="66"/>
      <c r="E11" s="66"/>
      <c r="F11" s="67"/>
      <c r="G11" s="67" t="str">
        <f>F11</f>
        <v/>
      </c>
      <c r="H11" s="3"/>
      <c r="I11" s="68" t="s">
        <v>33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5"/>
      <c r="B12" s="66"/>
      <c r="C12" s="66"/>
      <c r="D12" s="66"/>
      <c r="E12" s="66"/>
      <c r="F12" s="67"/>
      <c r="G12" s="67">
        <f t="shared" ref="G12:G36" si="1">G11+F12</f>
        <v>0</v>
      </c>
      <c r="H12" s="3"/>
      <c r="I12" s="6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5"/>
      <c r="B13" s="66"/>
      <c r="C13" s="66"/>
      <c r="D13" s="66"/>
      <c r="E13" s="66"/>
      <c r="F13" s="67"/>
      <c r="G13" s="67">
        <f t="shared" si="1"/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5"/>
      <c r="B14" s="66"/>
      <c r="C14" s="66"/>
      <c r="D14" s="66"/>
      <c r="E14" s="66"/>
      <c r="F14" s="67"/>
      <c r="G14" s="67">
        <f t="shared" si="1"/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5"/>
      <c r="B15" s="66"/>
      <c r="C15" s="66"/>
      <c r="D15" s="66"/>
      <c r="E15" s="66"/>
      <c r="F15" s="67"/>
      <c r="G15" s="67">
        <f t="shared" si="1"/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5"/>
      <c r="B16" s="66"/>
      <c r="C16" s="69"/>
      <c r="D16" s="66"/>
      <c r="E16" s="66"/>
      <c r="F16" s="67"/>
      <c r="G16" s="67">
        <f t="shared" si="1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5"/>
      <c r="B17" s="66"/>
      <c r="C17" s="69"/>
      <c r="D17" s="66"/>
      <c r="E17" s="66"/>
      <c r="F17" s="67"/>
      <c r="G17" s="67">
        <f t="shared" si="1"/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5"/>
      <c r="B18" s="66"/>
      <c r="C18" s="66"/>
      <c r="D18" s="66"/>
      <c r="E18" s="66"/>
      <c r="F18" s="67"/>
      <c r="G18" s="67">
        <f t="shared" si="1"/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5"/>
      <c r="B19" s="66"/>
      <c r="C19" s="66"/>
      <c r="D19" s="66"/>
      <c r="E19" s="66"/>
      <c r="F19" s="67"/>
      <c r="G19" s="67">
        <f t="shared" si="1"/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5"/>
      <c r="B20" s="66"/>
      <c r="C20" s="66"/>
      <c r="D20" s="66"/>
      <c r="E20" s="66"/>
      <c r="F20" s="67"/>
      <c r="G20" s="67">
        <f t="shared" si="1"/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65"/>
      <c r="B21" s="66"/>
      <c r="C21" s="66"/>
      <c r="D21" s="66"/>
      <c r="E21" s="66"/>
      <c r="F21" s="67"/>
      <c r="G21" s="67">
        <f t="shared" si="1"/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5"/>
      <c r="B22" s="66"/>
      <c r="C22" s="66"/>
      <c r="D22" s="66"/>
      <c r="E22" s="66"/>
      <c r="F22" s="67"/>
      <c r="G22" s="67">
        <f t="shared" si="1"/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5"/>
      <c r="B23" s="66"/>
      <c r="C23" s="66"/>
      <c r="D23" s="66"/>
      <c r="E23" s="66"/>
      <c r="F23" s="67"/>
      <c r="G23" s="67">
        <f t="shared" si="1"/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5"/>
      <c r="B24" s="66"/>
      <c r="C24" s="66"/>
      <c r="D24" s="66"/>
      <c r="E24" s="66"/>
      <c r="F24" s="67"/>
      <c r="G24" s="67">
        <f t="shared" si="1"/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5"/>
      <c r="B25" s="66"/>
      <c r="C25" s="66"/>
      <c r="D25" s="66"/>
      <c r="E25" s="66"/>
      <c r="F25" s="67"/>
      <c r="G25" s="67">
        <f t="shared" si="1"/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5"/>
      <c r="B26" s="66"/>
      <c r="C26" s="66"/>
      <c r="D26" s="66"/>
      <c r="E26" s="66"/>
      <c r="F26" s="67"/>
      <c r="G26" s="67">
        <f t="shared" si="1"/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5"/>
      <c r="B27" s="66"/>
      <c r="C27" s="66"/>
      <c r="D27" s="66"/>
      <c r="E27" s="66"/>
      <c r="F27" s="67"/>
      <c r="G27" s="67">
        <f t="shared" si="1"/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5"/>
      <c r="B28" s="66"/>
      <c r="C28" s="66"/>
      <c r="D28" s="66"/>
      <c r="E28" s="66"/>
      <c r="F28" s="67"/>
      <c r="G28" s="67">
        <f t="shared" si="1"/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5"/>
      <c r="B29" s="66"/>
      <c r="C29" s="66"/>
      <c r="D29" s="66"/>
      <c r="E29" s="66"/>
      <c r="F29" s="67"/>
      <c r="G29" s="67">
        <f t="shared" si="1"/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5"/>
      <c r="B30" s="66"/>
      <c r="C30" s="66"/>
      <c r="D30" s="66"/>
      <c r="E30" s="66"/>
      <c r="F30" s="67"/>
      <c r="G30" s="67">
        <f t="shared" si="1"/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5"/>
      <c r="B31" s="66"/>
      <c r="C31" s="66"/>
      <c r="D31" s="66"/>
      <c r="E31" s="66"/>
      <c r="F31" s="67"/>
      <c r="G31" s="67">
        <f t="shared" si="1"/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65"/>
      <c r="B32" s="66"/>
      <c r="C32" s="66"/>
      <c r="D32" s="66"/>
      <c r="E32" s="66"/>
      <c r="F32" s="67"/>
      <c r="G32" s="67">
        <f t="shared" si="1"/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65"/>
      <c r="B33" s="66"/>
      <c r="C33" s="66"/>
      <c r="D33" s="66"/>
      <c r="E33" s="66"/>
      <c r="F33" s="67"/>
      <c r="G33" s="67">
        <f t="shared" si="1"/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5"/>
      <c r="B34" s="66"/>
      <c r="C34" s="66"/>
      <c r="D34" s="66"/>
      <c r="E34" s="66"/>
      <c r="F34" s="67"/>
      <c r="G34" s="67">
        <f t="shared" si="1"/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5"/>
      <c r="B35" s="66"/>
      <c r="C35" s="66"/>
      <c r="D35" s="66"/>
      <c r="E35" s="66"/>
      <c r="F35" s="67"/>
      <c r="G35" s="67">
        <f t="shared" si="1"/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65"/>
      <c r="B36" s="66"/>
      <c r="C36" s="66"/>
      <c r="D36" s="66"/>
      <c r="E36" s="66"/>
      <c r="F36" s="67"/>
      <c r="G36" s="67">
        <f t="shared" si="1"/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65"/>
      <c r="B37" s="66"/>
      <c r="C37" s="66"/>
      <c r="D37" s="66"/>
      <c r="E37" s="66"/>
      <c r="F37" s="67"/>
      <c r="G37" s="67" t="str">
        <f>SUM(G36,IF(#REF!="Saída",-F37,+F37))</f>
        <v>#REF!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0"/>
      <c r="B38" s="71"/>
      <c r="C38" s="71"/>
      <c r="D38" s="71"/>
      <c r="E38" s="71"/>
      <c r="F38" s="71"/>
      <c r="G38" s="7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3" t="s">
        <v>34</v>
      </c>
      <c r="B39" s="73"/>
      <c r="C39" s="73"/>
      <c r="D39" s="73"/>
      <c r="E39" s="73"/>
      <c r="F39" s="74"/>
      <c r="G39" s="74" t="str">
        <f>G37</f>
        <v>#REF!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G1"/>
    <mergeCell ref="A38:G3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0.14"/>
    <col customWidth="1" min="3" max="26" width="8.86"/>
  </cols>
  <sheetData>
    <row r="1">
      <c r="A1" s="75" t="s">
        <v>35</v>
      </c>
      <c r="B1" s="75" t="s">
        <v>36</v>
      </c>
    </row>
    <row r="2">
      <c r="A2" s="75" t="s">
        <v>37</v>
      </c>
      <c r="B2" s="75" t="s">
        <v>38</v>
      </c>
    </row>
    <row r="3">
      <c r="B3" s="75" t="s">
        <v>39</v>
      </c>
    </row>
    <row r="4">
      <c r="B4" s="75" t="s">
        <v>40</v>
      </c>
    </row>
    <row r="5" ht="15.75" customHeight="1">
      <c r="B5" s="75" t="s">
        <v>41</v>
      </c>
    </row>
    <row r="6">
      <c r="B6" s="75" t="s">
        <v>42</v>
      </c>
    </row>
    <row r="7">
      <c r="B7" s="75" t="s">
        <v>43</v>
      </c>
    </row>
    <row r="8">
      <c r="B8" s="75" t="s">
        <v>44</v>
      </c>
    </row>
    <row r="9">
      <c r="B9" s="75" t="s">
        <v>45</v>
      </c>
    </row>
    <row r="10">
      <c r="B10" s="75" t="s">
        <v>46</v>
      </c>
    </row>
    <row r="11">
      <c r="B11" s="75" t="s">
        <v>47</v>
      </c>
    </row>
    <row r="12">
      <c r="B12" s="75" t="s">
        <v>48</v>
      </c>
    </row>
    <row r="13">
      <c r="B13" s="75" t="s">
        <v>49</v>
      </c>
    </row>
    <row r="14">
      <c r="B14" s="75" t="s">
        <v>50</v>
      </c>
    </row>
    <row r="15">
      <c r="B15" s="75" t="s">
        <v>51</v>
      </c>
    </row>
    <row r="16">
      <c r="B16" s="75" t="s">
        <v>52</v>
      </c>
    </row>
    <row r="17">
      <c r="B17" s="75" t="s">
        <v>53</v>
      </c>
    </row>
    <row r="18">
      <c r="B18" s="75" t="s">
        <v>54</v>
      </c>
    </row>
    <row r="19">
      <c r="B19" s="75" t="s">
        <v>55</v>
      </c>
    </row>
    <row r="20">
      <c r="B20" s="75" t="s">
        <v>56</v>
      </c>
    </row>
    <row r="21">
      <c r="B21" s="75" t="s">
        <v>57</v>
      </c>
    </row>
    <row r="22">
      <c r="B22" s="75" t="s">
        <v>58</v>
      </c>
    </row>
    <row r="23" ht="15.75" customHeight="1">
      <c r="B23" s="75" t="s">
        <v>59</v>
      </c>
    </row>
    <row r="24" ht="15.75" customHeight="1">
      <c r="B24" s="75" t="s">
        <v>60</v>
      </c>
    </row>
    <row r="25" ht="15.75" customHeight="1">
      <c r="B25" s="75" t="s">
        <v>61</v>
      </c>
    </row>
    <row r="26" ht="15.75" customHeight="1">
      <c r="B26" s="75" t="s">
        <v>62</v>
      </c>
    </row>
    <row r="27" ht="15.75" customHeight="1">
      <c r="B27" s="75" t="s">
        <v>63</v>
      </c>
    </row>
    <row r="28" ht="15.75" customHeight="1">
      <c r="B28" s="75" t="s">
        <v>64</v>
      </c>
    </row>
    <row r="29" ht="15.75" customHeight="1">
      <c r="B29" s="75" t="s">
        <v>65</v>
      </c>
    </row>
    <row r="30" ht="15.75" customHeight="1">
      <c r="B30" s="75" t="s">
        <v>66</v>
      </c>
    </row>
    <row r="31" ht="15.75" customHeight="1">
      <c r="B31" s="75" t="s">
        <v>67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2017-01-30T17:30:02Z</dcterms:created>
  <dc:creator>Bibiano Reis</dc:creator>
</cp:coreProperties>
</file>